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color rgb="00922B21"/>
    </font>
    <font>
      <b val="1"/>
      <color rgb="00000000"/>
    </font>
    <font>
      <b val="1"/>
      <color rgb="00FFFFFF"/>
      <sz val="14"/>
    </font>
    <font>
      <b val="1"/>
      <color rgb="00FFFFFF"/>
      <sz val="12"/>
    </font>
    <font>
      <i val="1"/>
      <color rgb="00777777"/>
    </font>
  </fonts>
  <fills count="12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EF9F9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2F3F4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FADBD8"/>
      </patternFill>
    </fill>
    <fill>
      <patternFill patternType="solid">
        <fgColor rgb="002980B9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22" customWidth="1" min="5" max="5"/>
    <col width="32" customWidth="1" min="6" max="6"/>
    <col width="35" customWidth="1" min="7" max="7"/>
    <col width="52" customWidth="1" min="8" max="8"/>
    <col width="52" customWidth="1" min="9" max="9"/>
    <col width="38" customWidth="1" min="10" max="10"/>
    <col width="60" customWidth="1" min="11" max="11"/>
  </cols>
  <sheetData>
    <row r="1" ht="32" customHeight="1">
      <c r="A1" s="1" t="inlineStr">
        <is>
          <t>ID</t>
        </is>
      </c>
      <c r="B1" s="1" t="inlineStr">
        <is>
          <t>Severity</t>
        </is>
      </c>
      <c r="C1" s="1" t="inlineStr">
        <is>
          <t>CWE</t>
        </is>
      </c>
      <c r="D1" s="1" t="inlineStr">
        <is>
          <t>OWASP</t>
        </is>
      </c>
      <c r="E1" s="1" t="inlineStr">
        <is>
          <t>Type</t>
        </is>
      </c>
      <c r="F1" s="1" t="inlineStr">
        <is>
          <t>File / Location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Exploitation</t>
        </is>
      </c>
      <c r="J1" s="1" t="inlineStr">
        <is>
          <t>Impact</t>
        </is>
      </c>
      <c r="K1" s="1" t="inlineStr">
        <is>
          <t>Recommended Fix</t>
        </is>
      </c>
    </row>
    <row r="2" ht="70" customHeight="1">
      <c r="A2" s="2" t="inlineStr">
        <is>
          <t>F-01</t>
        </is>
      </c>
      <c r="B2" s="3" t="inlineStr">
        <is>
          <t>Critical</t>
        </is>
      </c>
      <c r="C2" s="2" t="inlineStr">
        <is>
          <t>CWE-306</t>
        </is>
      </c>
      <c r="D2" s="2" t="inlineStr">
        <is>
          <t>A07:2021</t>
        </is>
      </c>
      <c r="E2" s="2" t="inlineStr">
        <is>
          <t>Missing Authentication</t>
        </is>
      </c>
      <c r="F2" s="2" t="inlineStr">
        <is>
          <t>backend/main.py</t>
        </is>
      </c>
      <c r="G2" s="2" t="inlineStr">
        <is>
          <t>ALL 15 endpoints</t>
        </is>
      </c>
      <c r="H2" s="2" t="inlineStr">
        <is>
          <t>Not a single API endpoint implements any form of authentication. No JWT, API key, OAuth2, or Depends() security guard exists anywhere.</t>
        </is>
      </c>
      <c r="I2" s="2" t="inlineStr">
        <is>
          <t>Anonymous attacker invokes ML inference, writes audit records, reads all farm data — zero credentials needed.</t>
        </is>
      </c>
      <c r="J2" s="2" t="inlineStr">
        <is>
          <t>Unauthorized access to all business logic; AI model resource abuse; data integrity violations.</t>
        </is>
      </c>
      <c r="K2" s="2" t="inlineStr">
        <is>
          <t>Implement Firebase JWT validation as FastAPI Depends() dependency on all routes.</t>
        </is>
      </c>
    </row>
    <row r="3" ht="70" customHeight="1">
      <c r="A3" s="2" t="inlineStr">
        <is>
          <t>F-02</t>
        </is>
      </c>
      <c r="B3" s="3" t="inlineStr">
        <is>
          <t>Critical</t>
        </is>
      </c>
      <c r="C3" s="2" t="inlineStr">
        <is>
          <t>CWE-312</t>
        </is>
      </c>
      <c r="D3" s="2" t="inlineStr">
        <is>
          <t>A02:2021</t>
        </is>
      </c>
      <c r="E3" s="2" t="inlineStr">
        <is>
          <t>Secrets in Repository</t>
        </is>
      </c>
      <c r="F3" s="2" t="inlineStr">
        <is>
          <t>.env.local, .env.production, .env.test, .env.test.prod</t>
        </is>
      </c>
      <c r="G3" s="2" t="inlineStr">
        <is>
          <t>N/A — Infrastructure</t>
        </is>
      </c>
      <c r="H3" s="2" t="inlineStr">
        <is>
          <t>Live Vercel OIDC JWTs stored in 4 env files revealing owner, project ID, user ID, client ID.</t>
        </is>
      </c>
      <c r="I3" s="2" t="inlineStr">
        <is>
          <t>Leaked token allows Vercel API auth, env variable theft, malicious deployment trigger.</t>
        </is>
      </c>
      <c r="J3" s="2" t="inlineStr">
        <is>
          <t>Full Vercel project compromise; API key theft (GEMINI_API_KEY, MANDI_API_KEY, OPENWEATHER_API_KEY).</t>
        </is>
      </c>
      <c r="K3" s="2" t="inlineStr">
        <is>
          <t>Rotate all tokens immediately at vercel.com/dashboard. Add gitleaks pre-commit hook.</t>
        </is>
      </c>
    </row>
    <row r="4" ht="70" customHeight="1">
      <c r="A4" s="2" t="inlineStr">
        <is>
          <t>F-03</t>
        </is>
      </c>
      <c r="B4" s="3" t="inlineStr">
        <is>
          <t>Critical</t>
        </is>
      </c>
      <c r="C4" s="2" t="inlineStr">
        <is>
          <t>CWE-942</t>
        </is>
      </c>
      <c r="D4" s="2" t="inlineStr">
        <is>
          <t>A05:2021</t>
        </is>
      </c>
      <c r="E4" s="2" t="inlineStr">
        <is>
          <t>CORS Misconfiguration</t>
        </is>
      </c>
      <c r="F4" s="2" t="inlineStr">
        <is>
          <t>backend/main.py:34</t>
        </is>
      </c>
      <c r="G4" s="2" t="inlineStr">
        <is>
          <t>ALL endpoints</t>
        </is>
      </c>
      <c r="H4" s="2" t="inlineStr">
        <is>
          <t>allow_origins=['*'] combined with allow_credentials=True — invalid W3C CORS spec; allows any origin credentialed requests.</t>
        </is>
      </c>
      <c r="I4" s="2" t="inlineStr">
        <is>
          <t>Malicious website sends credentialed cross-origin requests; CSRF-like data exfiltration.</t>
        </is>
      </c>
      <c r="J4" s="2" t="inlineStr">
        <is>
          <t>Cross-origin request forgery; sensitive data exfiltration.</t>
        </is>
      </c>
      <c r="K4" s="2" t="inlineStr">
        <is>
          <t>Replace wildcard with explicit list: ['https://kisan-mitra.vercel.app', 'http://localhost:3000']</t>
        </is>
      </c>
    </row>
    <row r="5" ht="70" customHeight="1">
      <c r="A5" s="2" t="inlineStr">
        <is>
          <t>F-04</t>
        </is>
      </c>
      <c r="B5" s="4" t="inlineStr">
        <is>
          <t>High</t>
        </is>
      </c>
      <c r="C5" s="2" t="inlineStr">
        <is>
          <t>CWE-434</t>
        </is>
      </c>
      <c r="D5" s="2" t="inlineStr">
        <is>
          <t>A03:2021</t>
        </is>
      </c>
      <c r="E5" s="2" t="inlineStr">
        <is>
          <t>Unrestricted File Upload</t>
        </is>
      </c>
      <c r="F5" s="2" t="inlineStr">
        <is>
          <t>backend/main.py:776</t>
        </is>
      </c>
      <c r="G5" s="2" t="inlineStr">
        <is>
          <t>POST /api/v1/disease/detect</t>
        </is>
      </c>
      <c r="H5" s="2" t="inlineStr">
        <is>
          <t>No MIME type, extension, or file size validation. Entire file read into RAM before any check.</t>
        </is>
      </c>
      <c r="I5" s="2" t="inlineStr">
        <is>
          <t>Upload 2 GB file -&gt; server OOM; upload crafted PIL payload targeting CVE-2023-44271.</t>
        </is>
      </c>
      <c r="J5" s="2" t="inlineStr">
        <is>
          <t>Server memory exhaustion DoS; potential PIL deserialization exploit.</t>
        </is>
      </c>
      <c r="K5" s="2" t="inlineStr">
        <is>
          <t>Validate content_type in ALLOWED_MIME_TYPES; enforce MAX_FILE_SIZE=10MB; sanitize filename.</t>
        </is>
      </c>
    </row>
    <row r="6" ht="70" customHeight="1">
      <c r="A6" s="2" t="inlineStr">
        <is>
          <t>F-05</t>
        </is>
      </c>
      <c r="B6" s="4" t="inlineStr">
        <is>
          <t>High</t>
        </is>
      </c>
      <c r="C6" s="2" t="inlineStr">
        <is>
          <t>CWE-502</t>
        </is>
      </c>
      <c r="D6" s="2" t="inlineStr">
        <is>
          <t>A08:2021</t>
        </is>
      </c>
      <c r="E6" s="2" t="inlineStr">
        <is>
          <t>Unsafe Pickle Deserialization</t>
        </is>
      </c>
      <c r="F6" s="2" t="inlineStr">
        <is>
          <t>advisory_engine.py:244,330,332; suitability_engine.py:235,237</t>
        </is>
      </c>
      <c r="G6" s="2" t="inlineStr">
        <is>
          <t>N/A — startup/inference</t>
        </is>
      </c>
      <c r="H6" s="2" t="inlineStr">
        <is>
          <t>5 ML model files loaded via pickle.load() without integrity verification — allows arbitrary code execution.</t>
        </is>
      </c>
      <c r="I6" s="2" t="inlineStr">
        <is>
          <t>Replace any .pkl file with pickle RCE payload; server executes attacker code on next load.</t>
        </is>
      </c>
      <c r="J6" s="2" t="inlineStr">
        <is>
          <t>Remote Code Execution — complete server compromise.</t>
        </is>
      </c>
      <c r="K6" s="2" t="inlineStr">
        <is>
          <t>Add SHA256 hash verification before pickle.load(); migrate to safetensors for PyTorch models.</t>
        </is>
      </c>
    </row>
    <row r="7" ht="70" customHeight="1">
      <c r="A7" s="2" t="inlineStr">
        <is>
          <t>F-06</t>
        </is>
      </c>
      <c r="B7" s="4" t="inlineStr">
        <is>
          <t>High</t>
        </is>
      </c>
      <c r="C7" s="2" t="inlineStr">
        <is>
          <t>CWE-770</t>
        </is>
      </c>
      <c r="D7" s="2" t="inlineStr">
        <is>
          <t>A04:2021</t>
        </is>
      </c>
      <c r="E7" s="2" t="inlineStr">
        <is>
          <t>No Rate Limiting</t>
        </is>
      </c>
      <c r="F7" s="2" t="inlineStr">
        <is>
          <t>backend/main.py — all routes</t>
        </is>
      </c>
      <c r="G7" s="2" t="inlineStr">
        <is>
          <t>ALL endpoints</t>
        </is>
      </c>
      <c r="H7" s="2" t="inlineStr">
        <is>
          <t>No rate limiting on any endpoint. ML inference endpoints invoke heavy GPU computation on every call.</t>
        </is>
      </c>
      <c r="I7" s="2" t="inlineStr">
        <is>
          <t>200 concurrent threads flooding /advisory/chat -&gt; 100% CPU, OOM, full DoS in seconds.</t>
        </is>
      </c>
      <c r="J7" s="2" t="inlineStr">
        <is>
          <t>Denial of Service; cloud bill exhaustion; AI model resource theft.</t>
        </is>
      </c>
      <c r="K7" s="2" t="inlineStr">
        <is>
          <t>Add slowapi with @limiter.limit() decorator: 10/min for uploads, 30/min for chat.</t>
        </is>
      </c>
    </row>
    <row r="8" ht="70" customHeight="1">
      <c r="A8" s="2" t="inlineStr">
        <is>
          <t>F-07</t>
        </is>
      </c>
      <c r="B8" s="4" t="inlineStr">
        <is>
          <t>High</t>
        </is>
      </c>
      <c r="C8" s="2" t="inlineStr">
        <is>
          <t>CWE-200</t>
        </is>
      </c>
      <c r="D8" s="2" t="inlineStr">
        <is>
          <t>A05:2021</t>
        </is>
      </c>
      <c r="E8" s="2" t="inlineStr">
        <is>
          <t>API Docs Exposed in Production</t>
        </is>
      </c>
      <c r="F8" s="2" t="inlineStr">
        <is>
          <t>backend/main.py:13</t>
        </is>
      </c>
      <c r="G8" s="2" t="inlineStr">
        <is>
          <t>/docs, /redoc, /openapi.json</t>
        </is>
      </c>
      <c r="H8" s="2" t="inlineStr">
        <is>
          <t>FastAPI Swagger UI and ReDoc enabled by default — full API surface, schemas, and Try-it-out publicly accessible.</t>
        </is>
      </c>
      <c r="I8" s="2" t="inlineStr">
        <is>
          <t>Attacker navigates to /docs, discovers all endpoints and schemas, performs interactive API testing.</t>
        </is>
      </c>
      <c r="J8" s="2" t="inlineStr">
        <is>
          <t>Full API reconnaissance; schema-based automated fuzzing.</t>
        </is>
      </c>
      <c r="K8" s="2" t="inlineStr">
        <is>
          <t>Set docs_url=None and redoc_url=None in production via ENV variable check.</t>
        </is>
      </c>
    </row>
    <row r="9" ht="70" customHeight="1">
      <c r="A9" s="2" t="inlineStr">
        <is>
          <t>F-08</t>
        </is>
      </c>
      <c r="B9" s="4" t="inlineStr">
        <is>
          <t>High</t>
        </is>
      </c>
      <c r="C9" s="2" t="inlineStr">
        <is>
          <t>CWE-502</t>
        </is>
      </c>
      <c r="D9" s="2" t="inlineStr">
        <is>
          <t>A08:2021</t>
        </is>
      </c>
      <c r="E9" s="2" t="inlineStr">
        <is>
          <t>Unsafe torch.load() Deserialization</t>
        </is>
      </c>
      <c r="F9" s="2" t="inlineStr">
        <is>
          <t>backend/main.py:90,104,133; advisory_engine.py:233</t>
        </is>
      </c>
      <c r="G9" s="2" t="inlineStr">
        <is>
          <t>N/A — startup</t>
        </is>
      </c>
      <c r="H9" s="2" t="inlineStr">
        <is>
          <t>torch.load() called without weights_only=True — pickle-based arbitrary code execution via embedded .pt payloads.</t>
        </is>
      </c>
      <c r="I9" s="2" t="inlineStr">
        <is>
          <t>Replace model .pt file with pickle RCE; server executes attacker code on load.</t>
        </is>
      </c>
      <c r="J9" s="2" t="inlineStr">
        <is>
          <t>Remote Code Execution on the inference server.</t>
        </is>
      </c>
      <c r="K9" s="2" t="inlineStr">
        <is>
          <t>Add weights_only=True: torch.load(path, map_location='cpu', weights_only=True)</t>
        </is>
      </c>
    </row>
    <row r="10" ht="70" customHeight="1">
      <c r="A10" s="5" t="inlineStr">
        <is>
          <t>F-09</t>
        </is>
      </c>
      <c r="B10" s="6" t="inlineStr">
        <is>
          <t>Medium</t>
        </is>
      </c>
      <c r="C10" s="5" t="inlineStr">
        <is>
          <t>CWE-807</t>
        </is>
      </c>
      <c r="D10" s="5" t="inlineStr">
        <is>
          <t>A04:2021</t>
        </is>
      </c>
      <c r="E10" s="5" t="inlineStr">
        <is>
          <t>Business Logic Bypass</t>
        </is>
      </c>
      <c r="F10" s="5" t="inlineStr">
        <is>
          <t>backend/main.py:283</t>
        </is>
      </c>
      <c r="G10" s="5" t="inlineStr">
        <is>
          <t>POST /api/v1/disease/detect</t>
        </is>
      </c>
      <c r="H10" s="5" t="inlineStr">
        <is>
          <t>Filename-based disease classification bypasses ML model entirely, returning fabricated 98% confidence for any crafted filename.</t>
        </is>
      </c>
      <c r="I10" s="5" t="inlineStr">
        <is>
          <t>Upload 1x1 black image as 'rice_blast.jpg' -&gt; receive 98% confidence Rice Blast diagnosis.</t>
        </is>
      </c>
      <c r="J10" s="5" t="inlineStr">
        <is>
          <t>Diagnostic data integrity violation; fabricated disease reports in audit trail.</t>
        </is>
      </c>
      <c r="K10" s="5" t="inlineStr">
        <is>
          <t>Gate behind KISAN_ALLOW_FILENAME_BYPASS env var; set to '0' in production.</t>
        </is>
      </c>
    </row>
    <row r="11" ht="70" customHeight="1">
      <c r="A11" s="7" t="inlineStr">
        <is>
          <t>F-10</t>
        </is>
      </c>
      <c r="B11" s="6" t="inlineStr">
        <is>
          <t>Medium</t>
        </is>
      </c>
      <c r="C11" s="7" t="inlineStr">
        <is>
          <t>CWE-532</t>
        </is>
      </c>
      <c r="D11" s="7" t="inlineStr">
        <is>
          <t>A09:2021</t>
        </is>
      </c>
      <c r="E11" s="7" t="inlineStr">
        <is>
          <t>Sensitive Data in Logs</t>
        </is>
      </c>
      <c r="F11" s="7" t="inlineStr">
        <is>
          <t>backend/main.py:905; fertilizer_engine.py:635</t>
        </is>
      </c>
      <c r="G11" s="7" t="inlineStr">
        <is>
          <t>Multiple POST endpoints</t>
        </is>
      </c>
      <c r="H11" s="7" t="inlineStr">
        <is>
          <t>print() statements log crop names, disease names, confidence scores, and model internals to stdout.</t>
        </is>
      </c>
      <c r="I11" s="7" t="inlineStr">
        <is>
          <t>Log aggregator access reveals user behavior patterns, disease frequencies, model internals.</t>
        </is>
      </c>
      <c r="J11" s="7" t="inlineStr">
        <is>
          <t>User behavior leakage; internal architecture disclosure.</t>
        </is>
      </c>
      <c r="K11" s="7" t="inlineStr">
        <is>
          <t>Replace all print() with Python logging module at appropriate log levels.</t>
        </is>
      </c>
    </row>
    <row r="12" ht="70" customHeight="1">
      <c r="A12" s="5" t="inlineStr">
        <is>
          <t>F-11</t>
        </is>
      </c>
      <c r="B12" s="6" t="inlineStr">
        <is>
          <t>Medium</t>
        </is>
      </c>
      <c r="C12" s="5" t="inlineStr">
        <is>
          <t>CWE-693</t>
        </is>
      </c>
      <c r="D12" s="5" t="inlineStr">
        <is>
          <t>A05:2021</t>
        </is>
      </c>
      <c r="E12" s="5" t="inlineStr">
        <is>
          <t>Missing Security Headers</t>
        </is>
      </c>
      <c r="F12" s="5" t="inlineStr">
        <is>
          <t>backend/main.py — Middleware</t>
        </is>
      </c>
      <c r="G12" s="5" t="inlineStr">
        <is>
          <t>ALL endpoints</t>
        </is>
      </c>
      <c r="H12" s="5" t="inlineStr">
        <is>
          <t>Missing: X-Content-Type-Options, X-Frame-Options, HSTS, X-XSS-Protection, Referrer-Policy.</t>
        </is>
      </c>
      <c r="I12" s="5" t="inlineStr">
        <is>
          <t>Browser-level attacks: MIME sniffing, clickjacking, referrer leakage.</t>
        </is>
      </c>
      <c r="J12" s="5" t="inlineStr">
        <is>
          <t>Exposure to browser-based client-side attacks.</t>
        </is>
      </c>
      <c r="K12" s="5" t="inlineStr">
        <is>
          <t>Add SecurityHeadersMiddleware as BaseHTTPMiddleware with all standard headers.</t>
        </is>
      </c>
    </row>
    <row r="13" ht="70" customHeight="1">
      <c r="A13" s="7" t="inlineStr">
        <is>
          <t>F-12</t>
        </is>
      </c>
      <c r="B13" s="6" t="inlineStr">
        <is>
          <t>Medium</t>
        </is>
      </c>
      <c r="C13" s="7" t="inlineStr">
        <is>
          <t>CWE-284</t>
        </is>
      </c>
      <c r="D13" s="7" t="inlineStr">
        <is>
          <t>A01:2021</t>
        </is>
      </c>
      <c r="E13" s="7" t="inlineStr">
        <is>
          <t>IDOR / Broken Access Control</t>
        </is>
      </c>
      <c r="F13" s="7" t="inlineStr">
        <is>
          <t>backend/main.py:1661</t>
        </is>
      </c>
      <c r="G13" s="7" t="inlineStr">
        <is>
          <t>POST /api/v1/crops/audit-log</t>
        </is>
      </c>
      <c r="H13" s="7" t="inlineStr">
        <is>
          <t>Unauthenticated endpoint accepts caller-supplied farmId and writes to audit table — no ownership check.</t>
        </is>
      </c>
      <c r="I13" s="7" t="inlineStr">
        <is>
          <t>Inject 1000 fake audit records for any farmId — poison audit trail, frame farmers.</t>
        </is>
      </c>
      <c r="J13" s="7" t="inlineStr">
        <is>
          <t>Audit trail poisoning; data integrity violation; fake compliance records.</t>
        </is>
      </c>
      <c r="K13" s="7" t="inlineStr">
        <is>
          <t>After auth implementation, validate farmId belongs to authenticated user before INSERT.</t>
        </is>
      </c>
    </row>
    <row r="14" ht="70" customHeight="1">
      <c r="A14" s="5" t="inlineStr">
        <is>
          <t>F-13</t>
        </is>
      </c>
      <c r="B14" s="6" t="inlineStr">
        <is>
          <t>Medium</t>
        </is>
      </c>
      <c r="C14" s="5" t="inlineStr">
        <is>
          <t>CWE-613</t>
        </is>
      </c>
      <c r="D14" s="5" t="inlineStr">
        <is>
          <t>A07:2021</t>
        </is>
      </c>
      <c r="E14" s="5" t="inlineStr">
        <is>
          <t>Session Management Weakness</t>
        </is>
      </c>
      <c r="F14" s="5" t="inlineStr">
        <is>
          <t>advisory_engine.py:39</t>
        </is>
      </c>
      <c r="G14" s="5" t="inlineStr">
        <is>
          <t>POST /api/v1/advisory/chat</t>
        </is>
      </c>
      <c r="H14" s="5" t="inlineStr">
        <is>
          <t>Sessions in unbounded in-memory dict keyed by user-controlled farm name. No TTL, no isolation.</t>
        </is>
      </c>
      <c r="I14" s="5" t="inlineStr">
        <is>
          <t>Two users with same farm name share session history — cross-user data leakage.</t>
        </is>
      </c>
      <c r="J14" s="5" t="inlineStr">
        <is>
          <t>Cross-user data leakage; memory exhaustion DoS; session history disclosure.</t>
        </is>
      </c>
      <c r="K14" s="5" t="inlineStr">
        <is>
          <t>Key sessions by authenticated user ID; add TTL expiry; use Redis for persistence.</t>
        </is>
      </c>
    </row>
    <row r="15" ht="70" customHeight="1">
      <c r="A15" s="7" t="inlineStr">
        <is>
          <t>F-14</t>
        </is>
      </c>
      <c r="B15" s="6" t="inlineStr">
        <is>
          <t>Medium</t>
        </is>
      </c>
      <c r="C15" s="7" t="inlineStr">
        <is>
          <t>CWE-284</t>
        </is>
      </c>
      <c r="D15" s="7" t="inlineStr">
        <is>
          <t>A01:2021</t>
        </is>
      </c>
      <c r="E15" s="7" t="inlineStr">
        <is>
          <t>Domain Classifier Bypass</t>
        </is>
      </c>
      <c r="F15" s="7" t="inlineStr">
        <is>
          <t>advisory_engine.py:1163</t>
        </is>
      </c>
      <c r="G15" s="7" t="inlineStr">
        <is>
          <t>POST /api/v1/advisory/chat</t>
        </is>
      </c>
      <c r="H15" s="7" t="inlineStr">
        <is>
          <t>FARM_DATA_KEYWORDS whitelist bypasses domain classifier entirely. Adversaries using matching keywords bypass domain restriction.</t>
        </is>
      </c>
      <c r="I15" s="7" t="inlineStr">
        <is>
          <t>Craft query containing 'history' keyword to bypass domain check and access farm data handler.</t>
        </is>
      </c>
      <c r="J15" s="7" t="inlineStr">
        <is>
          <t>Potential domain restriction bypass; unauthorized FARM_DATA_QUERY routing.</t>
        </is>
      </c>
      <c r="K15" s="7" t="inlineStr">
        <is>
          <t>Ensure bypassed queries are strictly routed to FARM_DATA handler only — no fallthrough to RAG.</t>
        </is>
      </c>
    </row>
    <row r="16" ht="70" customHeight="1">
      <c r="A16" s="5" t="inlineStr">
        <is>
          <t>F-15</t>
        </is>
      </c>
      <c r="B16" s="8" t="inlineStr">
        <is>
          <t>Low</t>
        </is>
      </c>
      <c r="C16" s="5" t="inlineStr">
        <is>
          <t>CWE-400</t>
        </is>
      </c>
      <c r="D16" s="5" t="inlineStr">
        <is>
          <t>A04:2021</t>
        </is>
      </c>
      <c r="E16" s="5" t="inlineStr">
        <is>
          <t>Data Loss on Startup</t>
        </is>
      </c>
      <c r="F16" s="5" t="inlineStr">
        <is>
          <t>backend/setup_database.py:73</t>
        </is>
      </c>
      <c r="G16" s="5" t="inlineStr">
        <is>
          <t>N/A — startup</t>
        </is>
      </c>
      <c r="H16" s="5" t="inlineStr">
        <is>
          <t>init_db() deletes ALL rows from every table on every server startup/redeploy.</t>
        </is>
      </c>
      <c r="I16" s="5" t="inlineStr">
        <is>
          <t>Redeploy destroys all farmer disease history, audit records, and crop data.</t>
        </is>
      </c>
      <c r="J16" s="5" t="inlineStr">
        <is>
          <t>Data loss; destroyed audit trail; unreliable advisory history.</t>
        </is>
      </c>
      <c r="K16" s="5" t="inlineStr">
        <is>
          <t>Use CREATE TABLE IF NOT EXISTS; seed only if tables are empty; never DELETE on startup.</t>
        </is>
      </c>
    </row>
    <row r="17" ht="70" customHeight="1">
      <c r="A17" s="7" t="inlineStr">
        <is>
          <t>F-16</t>
        </is>
      </c>
      <c r="B17" s="8" t="inlineStr">
        <is>
          <t>Low</t>
        </is>
      </c>
      <c r="C17" s="7" t="inlineStr">
        <is>
          <t>N/A</t>
        </is>
      </c>
      <c r="D17" s="7" t="inlineStr">
        <is>
          <t>A05:2021</t>
        </is>
      </c>
      <c r="E17" s="7" t="inlineStr">
        <is>
          <t>Insecure Database Architecture</t>
        </is>
      </c>
      <c r="F17" s="7" t="inlineStr">
        <is>
          <t>All DB modules</t>
        </is>
      </c>
      <c r="G17" s="7" t="inlineStr">
        <is>
          <t>N/A</t>
        </is>
      </c>
      <c r="H17" s="7" t="inlineStr">
        <is>
          <t>SQLite in production — no connection pooling, write lock contention, not scalable to multi-instance.</t>
        </is>
      </c>
      <c r="I17" s="7" t="inlineStr">
        <is>
          <t>Concurrent writes cause 'database is locked' errors under load.</t>
        </is>
      </c>
      <c r="J17" s="7" t="inlineStr">
        <is>
          <t>Data consistency failures; inability to scale horizontally.</t>
        </is>
      </c>
      <c r="K17" s="7" t="inlineStr">
        <is>
          <t>Migrate to PostgreSQL with SQLAlchemy + asyncpg; use Alembic for migrations.</t>
        </is>
      </c>
    </row>
    <row r="18" ht="70" customHeight="1">
      <c r="A18" s="5" t="inlineStr">
        <is>
          <t>F-17</t>
        </is>
      </c>
      <c r="B18" s="8" t="inlineStr">
        <is>
          <t>Low</t>
        </is>
      </c>
      <c r="C18" s="5" t="inlineStr">
        <is>
          <t>CWE-20</t>
        </is>
      </c>
      <c r="D18" s="5" t="inlineStr">
        <is>
          <t>A03:2021</t>
        </is>
      </c>
      <c r="E18" s="5" t="inlineStr">
        <is>
          <t>Missing Input Length Validation</t>
        </is>
      </c>
      <c r="F18" s="5" t="inlineStr">
        <is>
          <t>backend/main.py — Pydantic models</t>
        </is>
      </c>
      <c r="G18" s="5" t="inlineStr">
        <is>
          <t>ALL POST endpoints</t>
        </is>
      </c>
      <c r="H18" s="5" t="inlineStr">
        <is>
          <t>No max_length constraints on text fields — unlimited strings passed into ML pipelines and SQL queries.</t>
        </is>
      </c>
      <c r="I18" s="5" t="inlineStr">
        <is>
          <t>Submit extremely long strings to trigger ReDoS in regex or exhaust ML embedding compute.</t>
        </is>
      </c>
      <c r="J18" s="5" t="inlineStr">
        <is>
          <t>Potential DoS via compute exhaustion.</t>
        </is>
      </c>
      <c r="K18" s="5" t="inlineStr">
        <is>
          <t>Add max_length=1000 constraints in Pydantic Field() definitions for all string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6" customWidth="1" min="4" max="4"/>
    <col width="12" customWidth="1" min="5" max="5"/>
    <col width="22" customWidth="1" min="6" max="6"/>
    <col width="50" customWidth="1" min="7" max="7"/>
    <col width="12" customWidth="1" min="8" max="8"/>
  </cols>
  <sheetData>
    <row r="1" ht="32" customHeight="1">
      <c r="A1" s="1" t="inlineStr">
        <is>
          <t>#</t>
        </is>
      </c>
      <c r="B1" s="1" t="inlineStr">
        <is>
          <t>Endpoint</t>
        </is>
      </c>
      <c r="C1" s="1" t="inlineStr">
        <is>
          <t>HTTP Method</t>
        </is>
      </c>
      <c r="D1" s="1" t="inlineStr">
        <is>
          <t>Auth Required</t>
        </is>
      </c>
      <c r="E1" s="1" t="inlineStr">
        <is>
          <t>Roles</t>
        </is>
      </c>
      <c r="F1" s="1" t="inlineStr">
        <is>
          <t>File:Line</t>
        </is>
      </c>
      <c r="G1" s="1" t="inlineStr">
        <is>
          <t>Description</t>
        </is>
      </c>
      <c r="H1" s="1" t="inlineStr">
        <is>
          <t>Risk Level</t>
        </is>
      </c>
    </row>
    <row r="2" ht="24" customHeight="1">
      <c r="A2" s="9" t="n">
        <v>1</v>
      </c>
      <c r="B2" s="5" t="inlineStr">
        <is>
          <t>/</t>
        </is>
      </c>
      <c r="C2" s="9" t="inlineStr">
        <is>
          <t>GET</t>
        </is>
      </c>
      <c r="D2" s="10" t="inlineStr">
        <is>
          <t>None</t>
        </is>
      </c>
      <c r="E2" s="9" t="inlineStr">
        <is>
          <t>Public</t>
        </is>
      </c>
      <c r="F2" s="5" t="inlineStr">
        <is>
          <t>main.py:279</t>
        </is>
      </c>
      <c r="G2" s="5" t="inlineStr">
        <is>
          <t>Health check — returns status ok</t>
        </is>
      </c>
      <c r="H2" s="11" t="inlineStr">
        <is>
          <t>Low</t>
        </is>
      </c>
    </row>
    <row r="3" ht="24" customHeight="1">
      <c r="A3" s="12" t="n">
        <v>2</v>
      </c>
      <c r="B3" s="7" t="inlineStr">
        <is>
          <t>/api/v1/disease/detect</t>
        </is>
      </c>
      <c r="C3" s="12" t="inlineStr">
        <is>
          <t>POST</t>
        </is>
      </c>
      <c r="D3" s="10" t="inlineStr">
        <is>
          <t>None</t>
        </is>
      </c>
      <c r="E3" s="12" t="inlineStr">
        <is>
          <t>Public</t>
        </is>
      </c>
      <c r="F3" s="7" t="inlineStr">
        <is>
          <t>main.py:776</t>
        </is>
      </c>
      <c r="G3" s="7" t="inlineStr">
        <is>
          <t>Upload leaf image for AI disease detection (multipart/form-data)</t>
        </is>
      </c>
      <c r="H3" s="3" t="inlineStr">
        <is>
          <t>Critical</t>
        </is>
      </c>
    </row>
    <row r="4" ht="24" customHeight="1">
      <c r="A4" s="9" t="n">
        <v>3</v>
      </c>
      <c r="B4" s="5" t="inlineStr">
        <is>
          <t>/api/v1/advisory/chat</t>
        </is>
      </c>
      <c r="C4" s="9" t="inlineStr">
        <is>
          <t>POST</t>
        </is>
      </c>
      <c r="D4" s="10" t="inlineStr">
        <is>
          <t>None</t>
        </is>
      </c>
      <c r="E4" s="9" t="inlineStr">
        <is>
          <t>Public</t>
        </is>
      </c>
      <c r="F4" s="5" t="inlineStr">
        <is>
          <t>main.py:979</t>
        </is>
      </c>
      <c r="G4" s="5" t="inlineStr">
        <is>
          <t>RAG-based agriculture chatbot with farm context support</t>
        </is>
      </c>
      <c r="H4" s="4" t="inlineStr">
        <is>
          <t>High</t>
        </is>
      </c>
    </row>
    <row r="5" ht="24" customHeight="1">
      <c r="A5" s="12" t="n">
        <v>4</v>
      </c>
      <c r="B5" s="7" t="inlineStr">
        <is>
          <t>/api/v1/advisory/generate</t>
        </is>
      </c>
      <c r="C5" s="12" t="inlineStr">
        <is>
          <t>POST</t>
        </is>
      </c>
      <c r="D5" s="10" t="inlineStr">
        <is>
          <t>None</t>
        </is>
      </c>
      <c r="E5" s="12" t="inlineStr">
        <is>
          <t>Public</t>
        </is>
      </c>
      <c r="F5" s="7" t="inlineStr">
        <is>
          <t>main.py:1002</t>
        </is>
      </c>
      <c r="G5" s="7" t="inlineStr">
        <is>
          <t>Generate crop-specific advisory text</t>
        </is>
      </c>
      <c r="H5" s="13" t="inlineStr">
        <is>
          <t>Medium</t>
        </is>
      </c>
    </row>
    <row r="6" ht="24" customHeight="1">
      <c r="A6" s="9" t="n">
        <v>5</v>
      </c>
      <c r="B6" s="5" t="inlineStr">
        <is>
          <t>/api/v1/advisory/recommendations</t>
        </is>
      </c>
      <c r="C6" s="9" t="inlineStr">
        <is>
          <t>POST</t>
        </is>
      </c>
      <c r="D6" s="10" t="inlineStr">
        <is>
          <t>None</t>
        </is>
      </c>
      <c r="E6" s="9" t="inlineStr">
        <is>
          <t>Public</t>
        </is>
      </c>
      <c r="F6" s="5" t="inlineStr">
        <is>
          <t>main.py:1120</t>
        </is>
      </c>
      <c r="G6" s="5" t="inlineStr">
        <is>
          <t>ML crop recommendations based on farm/weather context</t>
        </is>
      </c>
      <c r="H6" s="4" t="inlineStr">
        <is>
          <t>High</t>
        </is>
      </c>
    </row>
    <row r="7" ht="24" customHeight="1">
      <c r="A7" s="12" t="n">
        <v>6</v>
      </c>
      <c r="B7" s="7" t="inlineStr">
        <is>
          <t>/api/v1/advisory/suitability</t>
        </is>
      </c>
      <c r="C7" s="12" t="inlineStr">
        <is>
          <t>POST</t>
        </is>
      </c>
      <c r="D7" s="10" t="inlineStr">
        <is>
          <t>None</t>
        </is>
      </c>
      <c r="E7" s="12" t="inlineStr">
        <is>
          <t>Public</t>
        </is>
      </c>
      <c r="F7" s="7" t="inlineStr">
        <is>
          <t>main.py:1237</t>
        </is>
      </c>
      <c r="G7" s="7" t="inlineStr">
        <is>
          <t>Evaluate crop suitability via rule engine</t>
        </is>
      </c>
      <c r="H7" s="13" t="inlineStr">
        <is>
          <t>Medium</t>
        </is>
      </c>
    </row>
    <row r="8" ht="24" customHeight="1">
      <c r="A8" s="9" t="n">
        <v>7</v>
      </c>
      <c r="B8" s="5" t="inlineStr">
        <is>
          <t>/api/v1/advisory/daily-guidance</t>
        </is>
      </c>
      <c r="C8" s="9" t="inlineStr">
        <is>
          <t>POST</t>
        </is>
      </c>
      <c r="D8" s="10" t="inlineStr">
        <is>
          <t>None</t>
        </is>
      </c>
      <c r="E8" s="9" t="inlineStr">
        <is>
          <t>Public</t>
        </is>
      </c>
      <c r="F8" s="5" t="inlineStr">
        <is>
          <t>main.py:1259</t>
        </is>
      </c>
      <c r="G8" s="5" t="inlineStr">
        <is>
          <t>5-day daily farming guidance schedule</t>
        </is>
      </c>
      <c r="H8" s="11" t="inlineStr">
        <is>
          <t>Low</t>
        </is>
      </c>
    </row>
    <row r="9" ht="24" customHeight="1">
      <c r="A9" s="12" t="n">
        <v>8</v>
      </c>
      <c r="B9" s="7" t="inlineStr">
        <is>
          <t>/api/v1/advisory/reasoning</t>
        </is>
      </c>
      <c r="C9" s="12" t="inlineStr">
        <is>
          <t>POST</t>
        </is>
      </c>
      <c r="D9" s="10" t="inlineStr">
        <is>
          <t>None</t>
        </is>
      </c>
      <c r="E9" s="12" t="inlineStr">
        <is>
          <t>Public</t>
        </is>
      </c>
      <c r="F9" s="7" t="inlineStr">
        <is>
          <t>main.py:1609</t>
        </is>
      </c>
      <c r="G9" s="7" t="inlineStr">
        <is>
          <t>Generate crop suitability reasoning text</t>
        </is>
      </c>
      <c r="H9" s="11" t="inlineStr">
        <is>
          <t>Low</t>
        </is>
      </c>
    </row>
    <row r="10" ht="24" customHeight="1">
      <c r="A10" s="9" t="n">
        <v>9</v>
      </c>
      <c r="B10" s="5" t="inlineStr">
        <is>
          <t>/api/v1/crop-recommendation/predict</t>
        </is>
      </c>
      <c r="C10" s="9" t="inlineStr">
        <is>
          <t>POST</t>
        </is>
      </c>
      <c r="D10" s="10" t="inlineStr">
        <is>
          <t>None</t>
        </is>
      </c>
      <c r="E10" s="9" t="inlineStr">
        <is>
          <t>Public</t>
        </is>
      </c>
      <c r="F10" s="5" t="inlineStr">
        <is>
          <t>main.py:1102</t>
        </is>
      </c>
      <c r="G10" s="5" t="inlineStr">
        <is>
          <t>Direct ML crop recommendation prediction</t>
        </is>
      </c>
      <c r="H10" s="13" t="inlineStr">
        <is>
          <t>Medium</t>
        </is>
      </c>
    </row>
    <row r="11" ht="24" customHeight="1">
      <c r="A11" s="12" t="n">
        <v>10</v>
      </c>
      <c r="B11" s="7" t="inlineStr">
        <is>
          <t>/api/v1/fertilizer/recommend</t>
        </is>
      </c>
      <c r="C11" s="12" t="inlineStr">
        <is>
          <t>POST</t>
        </is>
      </c>
      <c r="D11" s="10" t="inlineStr">
        <is>
          <t>None</t>
        </is>
      </c>
      <c r="E11" s="12" t="inlineStr">
        <is>
          <t>Public</t>
        </is>
      </c>
      <c r="F11" s="7" t="inlineStr">
        <is>
          <t>main.py:1624</t>
        </is>
      </c>
      <c r="G11" s="7" t="inlineStr">
        <is>
          <t>Fertilizer schedule recommendation</t>
        </is>
      </c>
      <c r="H11" s="13" t="inlineStr">
        <is>
          <t>Medium</t>
        </is>
      </c>
    </row>
    <row r="12" ht="24" customHeight="1">
      <c r="A12" s="9" t="n">
        <v>11</v>
      </c>
      <c r="B12" s="5" t="inlineStr">
        <is>
          <t>/api/v1/crops/validate-before-planting</t>
        </is>
      </c>
      <c r="C12" s="9" t="inlineStr">
        <is>
          <t>POST</t>
        </is>
      </c>
      <c r="D12" s="10" t="inlineStr">
        <is>
          <t>None</t>
        </is>
      </c>
      <c r="E12" s="9" t="inlineStr">
        <is>
          <t>Public</t>
        </is>
      </c>
      <c r="F12" s="5" t="inlineStr">
        <is>
          <t>main.py:1647</t>
        </is>
      </c>
      <c r="G12" s="5" t="inlineStr">
        <is>
          <t>Validate crop conditions before planting</t>
        </is>
      </c>
      <c r="H12" s="13" t="inlineStr">
        <is>
          <t>Medium</t>
        </is>
      </c>
    </row>
    <row r="13" ht="24" customHeight="1">
      <c r="A13" s="12" t="n">
        <v>12</v>
      </c>
      <c r="B13" s="7" t="inlineStr">
        <is>
          <t>/api/v1/crops/audit-log</t>
        </is>
      </c>
      <c r="C13" s="12" t="inlineStr">
        <is>
          <t>POST</t>
        </is>
      </c>
      <c r="D13" s="10" t="inlineStr">
        <is>
          <t>None</t>
        </is>
      </c>
      <c r="E13" s="12" t="inlineStr">
        <is>
          <t>Public</t>
        </is>
      </c>
      <c r="F13" s="7" t="inlineStr">
        <is>
          <t>main.py:1661</t>
        </is>
      </c>
      <c r="G13" s="7" t="inlineStr">
        <is>
          <t>Write crop suitability audit record to SQLite — IDOR risk</t>
        </is>
      </c>
      <c r="H13" s="3" t="inlineStr">
        <is>
          <t>Critical</t>
        </is>
      </c>
    </row>
    <row r="14" ht="24" customHeight="1">
      <c r="A14" s="9" t="n">
        <v>13</v>
      </c>
      <c r="B14" s="5" t="inlineStr">
        <is>
          <t>/docs</t>
        </is>
      </c>
      <c r="C14" s="9" t="inlineStr">
        <is>
          <t>GET</t>
        </is>
      </c>
      <c r="D14" s="10" t="inlineStr">
        <is>
          <t>None</t>
        </is>
      </c>
      <c r="E14" s="9" t="inlineStr">
        <is>
          <t>Public</t>
        </is>
      </c>
      <c r="F14" s="5" t="inlineStr">
        <is>
          <t>FastAPI auto</t>
        </is>
      </c>
      <c r="G14" s="5" t="inlineStr">
        <is>
          <t>Swagger UI — full interactive API documentation exposed</t>
        </is>
      </c>
      <c r="H14" s="4" t="inlineStr">
        <is>
          <t>High</t>
        </is>
      </c>
    </row>
    <row r="15" ht="24" customHeight="1">
      <c r="A15" s="12" t="n">
        <v>14</v>
      </c>
      <c r="B15" s="7" t="inlineStr">
        <is>
          <t>/redoc</t>
        </is>
      </c>
      <c r="C15" s="12" t="inlineStr">
        <is>
          <t>GET</t>
        </is>
      </c>
      <c r="D15" s="10" t="inlineStr">
        <is>
          <t>None</t>
        </is>
      </c>
      <c r="E15" s="12" t="inlineStr">
        <is>
          <t>Public</t>
        </is>
      </c>
      <c r="F15" s="7" t="inlineStr">
        <is>
          <t>FastAPI auto</t>
        </is>
      </c>
      <c r="G15" s="7" t="inlineStr">
        <is>
          <t>ReDoc UI — API reference documentation exposed</t>
        </is>
      </c>
      <c r="H15" s="4" t="inlineStr">
        <is>
          <t>High</t>
        </is>
      </c>
    </row>
    <row r="16" ht="24" customHeight="1">
      <c r="A16" s="9" t="n">
        <v>15</v>
      </c>
      <c r="B16" s="5" t="inlineStr">
        <is>
          <t>/openapi.json</t>
        </is>
      </c>
      <c r="C16" s="9" t="inlineStr">
        <is>
          <t>GET</t>
        </is>
      </c>
      <c r="D16" s="10" t="inlineStr">
        <is>
          <t>None</t>
        </is>
      </c>
      <c r="E16" s="9" t="inlineStr">
        <is>
          <t>Public</t>
        </is>
      </c>
      <c r="F16" s="5" t="inlineStr">
        <is>
          <t>FastAPI auto</t>
        </is>
      </c>
      <c r="G16" s="5" t="inlineStr">
        <is>
          <t>Machine-readable OpenAPI schema — full API blueprint</t>
        </is>
      </c>
      <c r="H16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4" customWidth="1" min="3" max="3"/>
    <col width="12" customWidth="1" min="4" max="4"/>
    <col width="10" customWidth="1" min="5" max="5"/>
    <col width="24" customWidth="1" min="6" max="6"/>
    <col width="22" customWidth="1" min="7" max="7"/>
    <col width="26" customWidth="1" min="8" max="8"/>
  </cols>
  <sheetData>
    <row r="1" ht="32" customHeight="1">
      <c r="A1" s="1" t="inlineStr">
        <is>
          <t>Package</t>
        </is>
      </c>
      <c r="B1" s="1" t="inlineStr">
        <is>
          <t>Version Spec</t>
        </is>
      </c>
      <c r="C1" s="1" t="inlineStr">
        <is>
          <t>CVE</t>
        </is>
      </c>
      <c r="D1" s="1" t="inlineStr">
        <is>
          <t>Severity</t>
        </is>
      </c>
      <c r="E1" s="1" t="inlineStr">
        <is>
          <t>CVSS</t>
        </is>
      </c>
      <c r="F1" s="1" t="inlineStr">
        <is>
          <t>Type</t>
        </is>
      </c>
      <c r="G1" s="1" t="inlineStr">
        <is>
          <t>Fixed In</t>
        </is>
      </c>
      <c r="H1" s="1" t="inlineStr">
        <is>
          <t>Status</t>
        </is>
      </c>
    </row>
    <row r="2" ht="22" customHeight="1">
      <c r="A2" s="5" t="inlineStr">
        <is>
          <t>python-multipart</t>
        </is>
      </c>
      <c r="B2" s="5" t="inlineStr">
        <is>
          <t>&gt;=0.0.9</t>
        </is>
      </c>
      <c r="C2" s="5" t="inlineStr">
        <is>
          <t>CVE-2024-24762</t>
        </is>
      </c>
      <c r="D2" s="4" t="inlineStr">
        <is>
          <t>High</t>
        </is>
      </c>
      <c r="E2" s="9" t="inlineStr">
        <is>
          <t>7.5</t>
        </is>
      </c>
      <c r="F2" s="5" t="inlineStr">
        <is>
          <t>ReDoS</t>
        </is>
      </c>
      <c r="G2" s="5" t="inlineStr">
        <is>
          <t>0.0.20</t>
        </is>
      </c>
      <c r="H2" s="5" t="inlineStr">
        <is>
          <t>UPGRADE REQUIRED</t>
        </is>
      </c>
    </row>
    <row r="3" ht="22" customHeight="1">
      <c r="A3" s="7" t="inlineStr">
        <is>
          <t>torch</t>
        </is>
      </c>
      <c r="B3" s="7" t="inlineStr">
        <is>
          <t>&gt;=2.0.0</t>
        </is>
      </c>
      <c r="C3" s="7" t="inlineStr">
        <is>
          <t>N/A</t>
        </is>
      </c>
      <c r="D3" s="4" t="inlineStr">
        <is>
          <t>High</t>
        </is>
      </c>
      <c r="E3" s="12" t="inlineStr">
        <is>
          <t>8.1</t>
        </is>
      </c>
      <c r="F3" s="7" t="inlineStr">
        <is>
          <t>Unsafe Deserialization</t>
        </is>
      </c>
      <c r="G3" s="7" t="inlineStr">
        <is>
          <t>Use weights_only=True</t>
        </is>
      </c>
      <c r="H3" s="7" t="inlineStr">
        <is>
          <t>Code fix required</t>
        </is>
      </c>
    </row>
    <row r="4" ht="22" customHeight="1">
      <c r="A4" s="5" t="inlineStr">
        <is>
          <t>pillow</t>
        </is>
      </c>
      <c r="B4" s="5" t="inlineStr">
        <is>
          <t>&gt;=10.2.0</t>
        </is>
      </c>
      <c r="C4" s="5" t="inlineStr">
        <is>
          <t>CVE-2023-44271 (patched)</t>
        </is>
      </c>
      <c r="D4" s="14" t="inlineStr">
        <is>
          <t>Info</t>
        </is>
      </c>
      <c r="E4" s="9" t="inlineStr">
        <is>
          <t>N/A</t>
        </is>
      </c>
      <c r="F4" s="5" t="inlineStr">
        <is>
          <t>DoS (patched)</t>
        </is>
      </c>
      <c r="G4" s="5" t="inlineStr">
        <is>
          <t>10.0.1+</t>
        </is>
      </c>
      <c r="H4" s="5" t="inlineStr">
        <is>
          <t>Safe if &gt;=10.2.0</t>
        </is>
      </c>
    </row>
    <row r="5" ht="22" customHeight="1">
      <c r="A5" s="7" t="inlineStr">
        <is>
          <t>fastapi</t>
        </is>
      </c>
      <c r="B5" s="7" t="inlineStr">
        <is>
          <t>&gt;=0.110.0</t>
        </is>
      </c>
      <c r="C5" s="7" t="inlineStr">
        <is>
          <t>None</t>
        </is>
      </c>
      <c r="D5" s="14" t="inlineStr">
        <is>
          <t>Info</t>
        </is>
      </c>
      <c r="E5" s="12" t="inlineStr">
        <is>
          <t>N/A</t>
        </is>
      </c>
      <c r="F5" s="7" t="inlineStr">
        <is>
          <t>Unpinned</t>
        </is>
      </c>
      <c r="G5" s="7">
        <f>=0.115.6</f>
        <v/>
      </c>
      <c r="H5" s="7" t="inlineStr">
        <is>
          <t>Pin version</t>
        </is>
      </c>
    </row>
    <row r="6" ht="22" customHeight="1">
      <c r="A6" s="5" t="inlineStr">
        <is>
          <t>uvicorn</t>
        </is>
      </c>
      <c r="B6" s="5" t="inlineStr">
        <is>
          <t>&gt;=0.28.0</t>
        </is>
      </c>
      <c r="C6" s="5" t="inlineStr">
        <is>
          <t>None</t>
        </is>
      </c>
      <c r="D6" s="14" t="inlineStr">
        <is>
          <t>Info</t>
        </is>
      </c>
      <c r="E6" s="9" t="inlineStr">
        <is>
          <t>N/A</t>
        </is>
      </c>
      <c r="F6" s="5" t="inlineStr">
        <is>
          <t>Unpinned</t>
        </is>
      </c>
      <c r="G6" s="5">
        <f>=0.34.0</f>
        <v/>
      </c>
      <c r="H6" s="5" t="inlineStr">
        <is>
          <t>Pin version</t>
        </is>
      </c>
    </row>
    <row r="7" ht="22" customHeight="1">
      <c r="A7" s="7" t="inlineStr">
        <is>
          <t>numpy</t>
        </is>
      </c>
      <c r="B7" s="7" t="inlineStr">
        <is>
          <t>&gt;=1.26.0</t>
        </is>
      </c>
      <c r="C7" s="7" t="inlineStr">
        <is>
          <t>None</t>
        </is>
      </c>
      <c r="D7" s="14" t="inlineStr">
        <is>
          <t>Info</t>
        </is>
      </c>
      <c r="E7" s="12" t="inlineStr">
        <is>
          <t>N/A</t>
        </is>
      </c>
      <c r="F7" s="7" t="inlineStr">
        <is>
          <t>Unpinned</t>
        </is>
      </c>
      <c r="G7" s="7">
        <f>=1.26.4</f>
        <v/>
      </c>
      <c r="H7" s="7" t="inlineStr">
        <is>
          <t>Pin version</t>
        </is>
      </c>
    </row>
    <row r="8" ht="22" customHeight="1">
      <c r="A8" s="5" t="inlineStr">
        <is>
          <t>pydantic</t>
        </is>
      </c>
      <c r="B8" s="5" t="inlineStr">
        <is>
          <t>&gt;=2.6.0</t>
        </is>
      </c>
      <c r="C8" s="5" t="inlineStr">
        <is>
          <t>None</t>
        </is>
      </c>
      <c r="D8" s="14" t="inlineStr">
        <is>
          <t>Info</t>
        </is>
      </c>
      <c r="E8" s="9" t="inlineStr">
        <is>
          <t>N/A</t>
        </is>
      </c>
      <c r="F8" s="5" t="inlineStr">
        <is>
          <t>Unpinned</t>
        </is>
      </c>
      <c r="G8" s="5">
        <f>=2.10.4</f>
        <v/>
      </c>
      <c r="H8" s="5" t="inlineStr">
        <is>
          <t>Pin version</t>
        </is>
      </c>
    </row>
    <row r="9" ht="22" customHeight="1">
      <c r="A9" s="7" t="inlineStr">
        <is>
          <t>transformers</t>
        </is>
      </c>
      <c r="B9" s="7" t="inlineStr">
        <is>
          <t>&gt;=4.38.0</t>
        </is>
      </c>
      <c r="C9" s="7" t="inlineStr">
        <is>
          <t>None</t>
        </is>
      </c>
      <c r="D9" s="14" t="inlineStr">
        <is>
          <t>Info</t>
        </is>
      </c>
      <c r="E9" s="12" t="inlineStr">
        <is>
          <t>N/A</t>
        </is>
      </c>
      <c r="F9" s="7" t="inlineStr">
        <is>
          <t>Unpinned</t>
        </is>
      </c>
      <c r="G9" s="7">
        <f>=4.44.2</f>
        <v/>
      </c>
      <c r="H9" s="7" t="inlineStr">
        <is>
          <t>Pin version</t>
        </is>
      </c>
    </row>
    <row r="10" ht="22" customHeight="1">
      <c r="A10" s="5" t="inlineStr">
        <is>
          <t>sentence-transformers</t>
        </is>
      </c>
      <c r="B10" s="5" t="inlineStr">
        <is>
          <t>&gt;=2.2.0</t>
        </is>
      </c>
      <c r="C10" s="5" t="inlineStr">
        <is>
          <t>None</t>
        </is>
      </c>
      <c r="D10" s="14" t="inlineStr">
        <is>
          <t>Info</t>
        </is>
      </c>
      <c r="E10" s="9" t="inlineStr">
        <is>
          <t>N/A</t>
        </is>
      </c>
      <c r="F10" s="5" t="inlineStr">
        <is>
          <t>Unpinned</t>
        </is>
      </c>
      <c r="G10" s="5">
        <f>=3.0.1</f>
        <v/>
      </c>
      <c r="H10" s="5" t="inlineStr">
        <is>
          <t>Pin version</t>
        </is>
      </c>
    </row>
    <row r="11" ht="22" customHeight="1">
      <c r="A11" s="7" t="inlineStr">
        <is>
          <t>faiss-cpu</t>
        </is>
      </c>
      <c r="B11" s="7" t="inlineStr">
        <is>
          <t>&gt;=1.7.0</t>
        </is>
      </c>
      <c r="C11" s="7" t="inlineStr">
        <is>
          <t>None</t>
        </is>
      </c>
      <c r="D11" s="14" t="inlineStr">
        <is>
          <t>Info</t>
        </is>
      </c>
      <c r="E11" s="12" t="inlineStr">
        <is>
          <t>N/A</t>
        </is>
      </c>
      <c r="F11" s="7" t="inlineStr">
        <is>
          <t>Unpinned</t>
        </is>
      </c>
      <c r="G11" s="7">
        <f>=1.8.0</f>
        <v/>
      </c>
      <c r="H11" s="7" t="inlineStr">
        <is>
          <t>Pin version</t>
        </is>
      </c>
    </row>
    <row r="12" ht="22" customHeight="1">
      <c r="A12" s="5" t="inlineStr">
        <is>
          <t>scikit-learn</t>
        </is>
      </c>
      <c r="B12" s="5" t="inlineStr">
        <is>
          <t>&gt;=1.4.0</t>
        </is>
      </c>
      <c r="C12" s="5" t="inlineStr">
        <is>
          <t>None</t>
        </is>
      </c>
      <c r="D12" s="14" t="inlineStr">
        <is>
          <t>Info</t>
        </is>
      </c>
      <c r="E12" s="9" t="inlineStr">
        <is>
          <t>N/A</t>
        </is>
      </c>
      <c r="F12" s="5" t="inlineStr">
        <is>
          <t>Unpinned</t>
        </is>
      </c>
      <c r="G12" s="5">
        <f>=1.5.1</f>
        <v/>
      </c>
      <c r="H12" s="5" t="inlineStr">
        <is>
          <t>Pin version</t>
        </is>
      </c>
    </row>
    <row r="13" ht="22" customHeight="1">
      <c r="A13" s="7" t="inlineStr">
        <is>
          <t>pandas</t>
        </is>
      </c>
      <c r="B13" s="7" t="inlineStr">
        <is>
          <t>&gt;=2.2.0</t>
        </is>
      </c>
      <c r="C13" s="7" t="inlineStr">
        <is>
          <t>None</t>
        </is>
      </c>
      <c r="D13" s="14" t="inlineStr">
        <is>
          <t>Info</t>
        </is>
      </c>
      <c r="E13" s="12" t="inlineStr">
        <is>
          <t>N/A</t>
        </is>
      </c>
      <c r="F13" s="7" t="inlineStr">
        <is>
          <t>Unpinned</t>
        </is>
      </c>
      <c r="G13" s="7">
        <f>=2.2.2</f>
        <v/>
      </c>
      <c r="H13" s="7" t="inlineStr">
        <is>
          <t>Pin version</t>
        </is>
      </c>
    </row>
    <row r="14" ht="22" customHeight="1">
      <c r="A14" s="5" t="inlineStr">
        <is>
          <t>accelerate</t>
        </is>
      </c>
      <c r="B14" s="5" t="inlineStr">
        <is>
          <t>&gt;=0.26.0</t>
        </is>
      </c>
      <c r="C14" s="5" t="inlineStr">
        <is>
          <t>None</t>
        </is>
      </c>
      <c r="D14" s="14" t="inlineStr">
        <is>
          <t>Info</t>
        </is>
      </c>
      <c r="E14" s="9" t="inlineStr">
        <is>
          <t>N/A</t>
        </is>
      </c>
      <c r="F14" s="5" t="inlineStr">
        <is>
          <t>Unpinned</t>
        </is>
      </c>
      <c r="G14" s="5">
        <f>=0.33.0</f>
        <v/>
      </c>
      <c r="H14" s="5" t="inlineStr">
        <is>
          <t>Pin 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14" customWidth="1" min="5" max="5"/>
    <col width="24" customWidth="1" min="6" max="6"/>
  </cols>
  <sheetData>
    <row r="1" ht="36" customHeight="1">
      <c r="A1" s="15" t="inlineStr">
        <is>
          <t>KISAN MITRA BACKEND — SECURITY RISK DASHBOARD</t>
        </is>
      </c>
    </row>
    <row r="2" ht="30" customHeight="1">
      <c r="A2" s="16" t="inlineStr">
        <is>
          <t>OVERALL SECURITY SCORE:  16 / 100   |   STATUS: CRITICAL ❌   |   NOT SAFE FOR PRODUCTION</t>
        </is>
      </c>
    </row>
    <row r="4" ht="22" customHeight="1">
      <c r="A4" s="17" t="inlineStr">
        <is>
          <t>Critical: 3</t>
        </is>
      </c>
      <c r="B4" s="18" t="inlineStr">
        <is>
          <t>High: 5</t>
        </is>
      </c>
      <c r="C4" s="19" t="inlineStr">
        <is>
          <t>Medium: 6</t>
        </is>
      </c>
      <c r="D4" s="20" t="inlineStr">
        <is>
          <t>Low: 3</t>
        </is>
      </c>
      <c r="E4" s="21" t="inlineStr">
        <is>
          <t>Total: 17</t>
        </is>
      </c>
    </row>
    <row r="6" ht="32" customHeight="1">
      <c r="A6" s="1" t="inlineStr">
        <is>
          <t>Category</t>
        </is>
      </c>
      <c r="B6" s="1" t="inlineStr">
        <is>
          <t>Score</t>
        </is>
      </c>
      <c r="C6" s="1" t="inlineStr">
        <is>
          <t>Max</t>
        </is>
      </c>
      <c r="D6" s="1" t="inlineStr">
        <is>
          <t>Percentage</t>
        </is>
      </c>
      <c r="E6" s="1" t="inlineStr">
        <is>
          <t>Risk Level</t>
        </is>
      </c>
      <c r="F6" s="1" t="inlineStr">
        <is>
          <t>Key Findings</t>
        </is>
      </c>
    </row>
    <row r="7" ht="22" customHeight="1">
      <c r="A7" s="7" t="inlineStr">
        <is>
          <t>Authentication</t>
        </is>
      </c>
      <c r="B7" s="12" t="n">
        <v>0</v>
      </c>
      <c r="C7" s="12" t="n">
        <v>25</v>
      </c>
      <c r="D7" s="12" t="inlineStr">
        <is>
          <t>0/25  (0%)</t>
        </is>
      </c>
      <c r="E7" s="3" t="inlineStr">
        <is>
          <t>Critical</t>
        </is>
      </c>
      <c r="F7" s="7" t="inlineStr">
        <is>
          <t>F-01</t>
        </is>
      </c>
    </row>
    <row r="8" ht="22" customHeight="1">
      <c r="A8" s="7" t="inlineStr">
        <is>
          <t>Authorization</t>
        </is>
      </c>
      <c r="B8" s="12" t="n">
        <v>0</v>
      </c>
      <c r="C8" s="12" t="n">
        <v>20</v>
      </c>
      <c r="D8" s="12" t="inlineStr">
        <is>
          <t>0/20  (0%)</t>
        </is>
      </c>
      <c r="E8" s="3" t="inlineStr">
        <is>
          <t>Critical</t>
        </is>
      </c>
      <c r="F8" s="7" t="inlineStr">
        <is>
          <t>F-01, F-12</t>
        </is>
      </c>
    </row>
    <row r="9" ht="22" customHeight="1">
      <c r="A9" s="7" t="inlineStr">
        <is>
          <t>Input Validation</t>
        </is>
      </c>
      <c r="B9" s="12" t="n">
        <v>7</v>
      </c>
      <c r="C9" s="12" t="n">
        <v>15</v>
      </c>
      <c r="D9" s="12" t="inlineStr">
        <is>
          <t>7/15  (46%)</t>
        </is>
      </c>
      <c r="E9" s="4" t="inlineStr">
        <is>
          <t>High</t>
        </is>
      </c>
      <c r="F9" s="7" t="inlineStr">
        <is>
          <t>F-04, F-17</t>
        </is>
      </c>
    </row>
    <row r="10" ht="22" customHeight="1">
      <c r="A10" s="7" t="inlineStr">
        <is>
          <t>Secrets Management</t>
        </is>
      </c>
      <c r="B10" s="12" t="n">
        <v>3</v>
      </c>
      <c r="C10" s="12" t="n">
        <v>15</v>
      </c>
      <c r="D10" s="12" t="inlineStr">
        <is>
          <t>3/15  (20%)</t>
        </is>
      </c>
      <c r="E10" s="3" t="inlineStr">
        <is>
          <t>Critical</t>
        </is>
      </c>
      <c r="F10" s="7" t="inlineStr">
        <is>
          <t>F-02</t>
        </is>
      </c>
    </row>
    <row r="11" ht="22" customHeight="1">
      <c r="A11" s="7" t="inlineStr">
        <is>
          <t>Configuration</t>
        </is>
      </c>
      <c r="B11" s="12" t="n">
        <v>4</v>
      </c>
      <c r="C11" s="12" t="n">
        <v>15</v>
      </c>
      <c r="D11" s="12" t="inlineStr">
        <is>
          <t>4/15  (26%)</t>
        </is>
      </c>
      <c r="E11" s="4" t="inlineStr">
        <is>
          <t>High</t>
        </is>
      </c>
      <c r="F11" s="7" t="inlineStr">
        <is>
          <t>F-03, F-07, F-11</t>
        </is>
      </c>
    </row>
    <row r="12" ht="22" customHeight="1">
      <c r="A12" s="7" t="inlineStr">
        <is>
          <t>Dependency Security</t>
        </is>
      </c>
      <c r="B12" s="12" t="n">
        <v>2</v>
      </c>
      <c r="C12" s="12" t="n">
        <v>10</v>
      </c>
      <c r="D12" s="12" t="inlineStr">
        <is>
          <t>2/10  (20%)</t>
        </is>
      </c>
      <c r="E12" s="4" t="inlineStr">
        <is>
          <t>High</t>
        </is>
      </c>
      <c r="F12" s="7" t="inlineStr">
        <is>
          <t>F-05, F-08</t>
        </is>
      </c>
    </row>
    <row r="15">
      <c r="A15" s="22" t="inlineStr">
        <is>
          <t>Report generated: 2026-06-17 14:19:16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2026-06-17T08:49:16Z</dcterms:created>
  <dcterms:modified xsi:type="dcterms:W3CDTF">2026-06-17T08:49:16Z</dcterms:modified>
</cp:coreProperties>
</file>